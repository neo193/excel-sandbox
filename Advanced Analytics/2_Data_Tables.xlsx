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Code\Data Analysis\Luke Barousse\Excel\ExcelPrac\excel-sandbox\Advanced Analytics\"/>
    </mc:Choice>
  </mc:AlternateContent>
  <xr:revisionPtr revIDLastSave="0" documentId="8_{122CABF2-9160-4180-A714-607870BD9392}" xr6:coauthVersionLast="47" xr6:coauthVersionMax="47" xr10:uidLastSave="{00000000-0000-0000-0000-000000000000}"/>
  <bookViews>
    <workbookView xWindow="-120" yWindow="-120" windowWidth="29040" windowHeight="15720" xr2:uid="{6C37AC85-509F-4D10-9DB1-F70D16D6FBAB}"/>
  </bookViews>
  <sheets>
    <sheet name="Data Tables" sheetId="3" r:id="rId1"/>
  </sheets>
  <definedNames>
    <definedName name="base" localSheetId="0">'Data Tables'!$C$3</definedName>
    <definedName name="base">#REF!</definedName>
    <definedName name="bonus" localSheetId="0">'Data Tables'!$C$4</definedName>
    <definedName name="bonus">#REF!</definedName>
    <definedName name="bonuys" localSheetId="0">'Data Tables'!$C$4</definedName>
    <definedName name="bonuys">#REF!</definedName>
    <definedName name="raise" localSheetId="0">'Data Tables'!$C$5</definedName>
    <definedName name="rai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3" i="3" l="1"/>
  <c r="J3" i="3" s="1"/>
  <c r="C12" i="3"/>
  <c r="I3" i="3" s="1"/>
  <c r="C11" i="3"/>
  <c r="H3" i="3" s="1"/>
  <c r="C10" i="3"/>
  <c r="G3" i="3" s="1"/>
  <c r="C9" i="3"/>
  <c r="C14" i="3" l="1"/>
  <c r="K3" i="3" s="1"/>
  <c r="F3" i="3"/>
  <c r="E17" i="3" l="1"/>
</calcChain>
</file>

<file path=xl/sharedStrings.xml><?xml version="1.0" encoding="utf-8"?>
<sst xmlns="http://schemas.openxmlformats.org/spreadsheetml/2006/main" count="19" uniqueCount="15">
  <si>
    <t>Base Salary</t>
  </si>
  <si>
    <t>Bonus</t>
  </si>
  <si>
    <t>Annual Raise</t>
  </si>
  <si>
    <t>Total</t>
  </si>
  <si>
    <t>Year 1</t>
  </si>
  <si>
    <t>Year 2</t>
  </si>
  <si>
    <t>Year 3</t>
  </si>
  <si>
    <t>Year 4</t>
  </si>
  <si>
    <t>Year 0</t>
  </si>
  <si>
    <t>Input Cells</t>
  </si>
  <si>
    <t>Result Cells</t>
  </si>
  <si>
    <t>Year</t>
  </si>
  <si>
    <t>Amount</t>
  </si>
  <si>
    <t>Two Inputs</t>
  </si>
  <si>
    <t>Single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</si>
</sst>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name val="Aptos Narrow"/>
      <scheme val="minor"/>
    </font>
    <font>
      <b/>
      <i/>
      <sz val="11"/>
      <color theme="1"/>
      <name val="Aptos Narrow"/>
      <scheme val="minor"/>
    </font>
    <font>
      <b/>
      <sz val="14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1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2" borderId="16" applyNumberFormat="0" applyAlignment="0" applyProtection="0"/>
  </cellStyleXfs>
  <cellXfs count="33">
    <xf numFmtId="0" fontId="0" fillId="0" borderId="0" xfId="0"/>
    <xf numFmtId="164" fontId="0" fillId="0" borderId="0" xfId="1" applyNumberFormat="1" applyFont="1" applyBorder="1"/>
    <xf numFmtId="164" fontId="0" fillId="0" borderId="1" xfId="1" applyNumberFormat="1" applyFont="1" applyBorder="1"/>
    <xf numFmtId="164" fontId="0" fillId="0" borderId="2" xfId="1" applyNumberFormat="1" applyFont="1" applyBorder="1"/>
    <xf numFmtId="164" fontId="0" fillId="0" borderId="3" xfId="1" applyNumberFormat="1" applyFont="1" applyBorder="1"/>
    <xf numFmtId="0" fontId="2" fillId="0" borderId="0" xfId="0" applyFont="1" applyAlignment="1">
      <alignment horizontal="center"/>
    </xf>
    <xf numFmtId="0" fontId="2" fillId="0" borderId="12" xfId="0" applyFont="1" applyBorder="1"/>
    <xf numFmtId="164" fontId="0" fillId="0" borderId="13" xfId="1" applyNumberFormat="1" applyFont="1" applyBorder="1"/>
    <xf numFmtId="0" fontId="2" fillId="0" borderId="14" xfId="0" applyFont="1" applyBorder="1"/>
    <xf numFmtId="0" fontId="2" fillId="0" borderId="12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65" fontId="2" fillId="0" borderId="7" xfId="0" applyNumberFormat="1" applyFont="1" applyBorder="1"/>
    <xf numFmtId="165" fontId="2" fillId="0" borderId="8" xfId="0" applyNumberFormat="1" applyFont="1" applyBorder="1"/>
    <xf numFmtId="165" fontId="2" fillId="0" borderId="9" xfId="0" applyNumberFormat="1" applyFont="1" applyBorder="1"/>
    <xf numFmtId="164" fontId="2" fillId="0" borderId="15" xfId="1" applyNumberFormat="1" applyFont="1" applyBorder="1"/>
    <xf numFmtId="164" fontId="6" fillId="2" borderId="17" xfId="3" applyNumberFormat="1" applyBorder="1"/>
    <xf numFmtId="9" fontId="6" fillId="2" borderId="17" xfId="3" applyNumberFormat="1" applyBorder="1"/>
    <xf numFmtId="165" fontId="6" fillId="2" borderId="18" xfId="3" applyNumberForma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164" fontId="5" fillId="0" borderId="19" xfId="0" applyNumberFormat="1" applyFont="1" applyBorder="1"/>
    <xf numFmtId="164" fontId="7" fillId="0" borderId="4" xfId="2" applyNumberFormat="1" applyFont="1" applyBorder="1"/>
    <xf numFmtId="164" fontId="7" fillId="0" borderId="5" xfId="2" applyNumberFormat="1" applyFont="1" applyBorder="1"/>
    <xf numFmtId="164" fontId="7" fillId="0" borderId="6" xfId="2" applyNumberFormat="1" applyFont="1" applyBorder="1"/>
    <xf numFmtId="164" fontId="0" fillId="0" borderId="20" xfId="0" applyNumberFormat="1" applyBorder="1"/>
    <xf numFmtId="165" fontId="2" fillId="0" borderId="4" xfId="0" applyNumberFormat="1" applyFont="1" applyBorder="1"/>
    <xf numFmtId="165" fontId="2" fillId="0" borderId="5" xfId="0" applyNumberFormat="1" applyFont="1" applyBorder="1"/>
    <xf numFmtId="165" fontId="2" fillId="0" borderId="6" xfId="0" applyNumberFormat="1" applyFont="1" applyBorder="1"/>
    <xf numFmtId="0" fontId="8" fillId="0" borderId="2" xfId="0" applyFont="1" applyBorder="1" applyAlignment="1">
      <alignment horizontal="center"/>
    </xf>
    <xf numFmtId="0" fontId="8" fillId="0" borderId="1" xfId="0" applyFont="1" applyBorder="1" applyAlignment="1">
      <alignment horizontal="right" vertical="center" textRotation="90"/>
    </xf>
    <xf numFmtId="0" fontId="9" fillId="0" borderId="0" xfId="0" applyFont="1" applyAlignment="1">
      <alignment horizontal="center"/>
    </xf>
  </cellXfs>
  <cellStyles count="4">
    <cellStyle name="Currency" xfId="1" builtinId="4"/>
    <cellStyle name="Input" xfId="3" builtinId="20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K26"/>
  <sheetViews>
    <sheetView tabSelected="1" zoomScaleNormal="100" workbookViewId="0">
      <selection activeCell="P20" sqref="P20"/>
    </sheetView>
  </sheetViews>
  <sheetFormatPr defaultRowHeight="14.25"/>
  <cols>
    <col min="2" max="2" width="11.5" customWidth="1"/>
    <col min="3" max="3" width="11.875" bestFit="1" customWidth="1"/>
    <col min="5" max="5" width="11" bestFit="1" customWidth="1"/>
    <col min="6" max="11" width="11" customWidth="1"/>
  </cols>
  <sheetData>
    <row r="1" spans="2:11" ht="18.75" thickBot="1">
      <c r="E1" s="32" t="s">
        <v>14</v>
      </c>
      <c r="F1" s="32"/>
      <c r="G1" s="32"/>
      <c r="H1" s="32"/>
      <c r="I1" s="32"/>
      <c r="J1" s="32"/>
      <c r="K1" s="32"/>
    </row>
    <row r="2" spans="2:11" ht="15.75" thickBot="1">
      <c r="B2" s="20" t="s">
        <v>9</v>
      </c>
      <c r="C2" s="21"/>
      <c r="E2" s="5" t="s">
        <v>2</v>
      </c>
      <c r="F2" s="5" t="s">
        <v>8</v>
      </c>
      <c r="G2" s="5" t="s">
        <v>4</v>
      </c>
      <c r="H2" s="5" t="s">
        <v>5</v>
      </c>
      <c r="I2" s="5" t="s">
        <v>6</v>
      </c>
      <c r="J2" s="5" t="s">
        <v>7</v>
      </c>
      <c r="K2" s="5" t="s">
        <v>3</v>
      </c>
    </row>
    <row r="3" spans="2:11" ht="15.75" thickBot="1">
      <c r="B3" s="6" t="s">
        <v>0</v>
      </c>
      <c r="C3" s="17">
        <v>100000</v>
      </c>
      <c r="E3" s="22"/>
      <c r="F3" s="23">
        <f>C9</f>
        <v>110000.00000000001</v>
      </c>
      <c r="G3" s="24">
        <f>C10</f>
        <v>111650</v>
      </c>
      <c r="H3" s="24">
        <f>C11</f>
        <v>113324.74999999997</v>
      </c>
      <c r="I3" s="24">
        <f>C12</f>
        <v>115024.62124999997</v>
      </c>
      <c r="J3" s="24">
        <f>C13</f>
        <v>116749.99056874996</v>
      </c>
      <c r="K3" s="25">
        <f>C14</f>
        <v>566749.36181874992</v>
      </c>
    </row>
    <row r="4" spans="2:11" ht="15">
      <c r="B4" s="6" t="s">
        <v>1</v>
      </c>
      <c r="C4" s="18">
        <v>0.1</v>
      </c>
      <c r="E4" s="13">
        <v>0</v>
      </c>
      <c r="F4" s="1">
        <f t="dataTable" ref="F4:K12" dt2D="0" dtr="0" r1="C5" ca="1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.75" thickBot="1">
      <c r="B5" s="8" t="s">
        <v>2</v>
      </c>
      <c r="C5" s="19">
        <v>1.4999999999999999E-2</v>
      </c>
      <c r="E5" s="14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.75" thickBot="1">
      <c r="E6" s="14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ht="15">
      <c r="B7" s="20" t="s">
        <v>10</v>
      </c>
      <c r="C7" s="21"/>
      <c r="E7" s="14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ht="15">
      <c r="B8" s="11" t="s">
        <v>11</v>
      </c>
      <c r="C8" s="12" t="s">
        <v>12</v>
      </c>
      <c r="E8" s="14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ht="15">
      <c r="B9" s="9">
        <v>0</v>
      </c>
      <c r="C9" s="7">
        <f>(base*(1+raise)^B9)*(1+bonus)</f>
        <v>110000.00000000001</v>
      </c>
      <c r="E9" s="14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ht="15">
      <c r="B10" s="9">
        <v>1</v>
      </c>
      <c r="C10" s="7">
        <f>(base*(1+raise)^B10)*(1+bonus)</f>
        <v>111650</v>
      </c>
      <c r="E10" s="14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ht="15">
      <c r="B11" s="9">
        <v>2</v>
      </c>
      <c r="C11" s="7">
        <f>(base*(1+raise)^B11)*(1+bonus)</f>
        <v>113324.74999999997</v>
      </c>
      <c r="E11" s="14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.75" thickBot="1">
      <c r="B12" s="9">
        <v>3</v>
      </c>
      <c r="C12" s="7">
        <f>(base*(1+raise)^B12)*(1+bonus)</f>
        <v>115024.62124999997</v>
      </c>
      <c r="E12" s="15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ht="15">
      <c r="B13" s="9">
        <v>4</v>
      </c>
      <c r="C13" s="7">
        <f>(base*(1+raise)^B13)*(1+bonus)</f>
        <v>116749.99056874996</v>
      </c>
    </row>
    <row r="14" spans="2:11" ht="15.75" thickBot="1">
      <c r="B14" s="10" t="s">
        <v>3</v>
      </c>
      <c r="C14" s="16">
        <f>SUM(C9:C13)</f>
        <v>566749.36181874992</v>
      </c>
    </row>
    <row r="15" spans="2:11" ht="18">
      <c r="E15" s="32" t="s">
        <v>13</v>
      </c>
      <c r="F15" s="32"/>
      <c r="G15" s="32"/>
      <c r="H15" s="32"/>
      <c r="I15" s="32"/>
      <c r="J15" s="32"/>
      <c r="K15" s="32"/>
    </row>
    <row r="16" spans="2:11" ht="15" thickBot="1">
      <c r="F16" s="30" t="s">
        <v>1</v>
      </c>
      <c r="G16" s="30"/>
      <c r="H16" s="30"/>
      <c r="I16" s="30"/>
      <c r="J16" s="30"/>
      <c r="K16" s="30"/>
    </row>
    <row r="17" spans="4:11" ht="15.75" thickBot="1">
      <c r="E17" s="26">
        <f>C14</f>
        <v>566749.36181874992</v>
      </c>
      <c r="F17" s="27">
        <v>0</v>
      </c>
      <c r="G17" s="28">
        <v>0.05</v>
      </c>
      <c r="H17" s="28">
        <v>0.1</v>
      </c>
      <c r="I17" s="28">
        <v>0.15</v>
      </c>
      <c r="J17" s="28">
        <v>0.2</v>
      </c>
      <c r="K17" s="29">
        <v>0.25</v>
      </c>
    </row>
    <row r="18" spans="4:11" ht="15">
      <c r="D18" s="31" t="s">
        <v>2</v>
      </c>
      <c r="E18" s="13">
        <v>0</v>
      </c>
      <c r="F18" s="7">
        <f t="dataTable" ref="F18:K26" dt2D="1" dtr="1" r1="C4" r2="C5"/>
        <v>500000</v>
      </c>
      <c r="G18" s="7">
        <v>525000</v>
      </c>
      <c r="H18" s="7">
        <v>550000.00000000012</v>
      </c>
      <c r="I18" s="7">
        <v>574999.99999999988</v>
      </c>
      <c r="J18" s="7">
        <v>600000</v>
      </c>
      <c r="K18" s="7">
        <v>625000</v>
      </c>
    </row>
    <row r="19" spans="4:11" ht="15">
      <c r="D19" s="31"/>
      <c r="E19" s="14">
        <v>5.0000000000000001E-3</v>
      </c>
      <c r="F19" s="7">
        <v>505025.06256249989</v>
      </c>
      <c r="G19" s="7">
        <v>530276.31569062488</v>
      </c>
      <c r="H19" s="7">
        <v>555527.56881874998</v>
      </c>
      <c r="I19" s="7">
        <v>580778.82194687473</v>
      </c>
      <c r="J19" s="7">
        <v>606030.07507499983</v>
      </c>
      <c r="K19" s="7">
        <v>631281.32820312493</v>
      </c>
    </row>
    <row r="20" spans="4:11" ht="15">
      <c r="D20" s="31"/>
      <c r="E20" s="14">
        <v>0.01</v>
      </c>
      <c r="F20" s="7">
        <v>510100.50099999999</v>
      </c>
      <c r="G20" s="7">
        <v>535605.52604999999</v>
      </c>
      <c r="H20" s="7">
        <v>561110.55110000004</v>
      </c>
      <c r="I20" s="7">
        <v>586615.57614999986</v>
      </c>
      <c r="J20" s="7">
        <v>612120.60120000003</v>
      </c>
      <c r="K20" s="7">
        <v>637625.62624999997</v>
      </c>
    </row>
    <row r="21" spans="4:11" ht="15">
      <c r="D21" s="31"/>
      <c r="E21" s="14">
        <v>1.4999999999999999E-2</v>
      </c>
      <c r="F21" s="7">
        <v>515226.6925624999</v>
      </c>
      <c r="G21" s="7">
        <v>540988.02719062497</v>
      </c>
      <c r="H21" s="7">
        <v>566749.36181874992</v>
      </c>
      <c r="I21" s="7">
        <v>592510.69644687476</v>
      </c>
      <c r="J21" s="7">
        <v>618272.03107499983</v>
      </c>
      <c r="K21" s="7">
        <v>644033.3657031249</v>
      </c>
    </row>
    <row r="22" spans="4:11" ht="15">
      <c r="D22" s="31"/>
      <c r="E22" s="14">
        <v>0.02</v>
      </c>
      <c r="F22" s="7">
        <v>520404.016</v>
      </c>
      <c r="G22" s="7">
        <v>546424.21679999994</v>
      </c>
      <c r="H22" s="7">
        <v>572444.41760000004</v>
      </c>
      <c r="I22" s="7">
        <v>598464.61839999992</v>
      </c>
      <c r="J22" s="7">
        <v>624484.81919999991</v>
      </c>
      <c r="K22" s="7">
        <v>650505.02</v>
      </c>
    </row>
    <row r="23" spans="4:11" ht="15">
      <c r="D23" s="31"/>
      <c r="E23" s="14">
        <v>2.5000000000000001E-2</v>
      </c>
      <c r="F23" s="7">
        <v>525632.8515625</v>
      </c>
      <c r="G23" s="7">
        <v>551914.494140625</v>
      </c>
      <c r="H23" s="7">
        <v>578196.13671875</v>
      </c>
      <c r="I23" s="7">
        <v>604477.77929687488</v>
      </c>
      <c r="J23" s="7">
        <v>630759.42187499988</v>
      </c>
      <c r="K23" s="7">
        <v>657041.064453125</v>
      </c>
    </row>
    <row r="24" spans="4:11" ht="15">
      <c r="D24" s="31"/>
      <c r="E24" s="14">
        <v>0.03</v>
      </c>
      <c r="F24" s="7">
        <v>530913.58100000001</v>
      </c>
      <c r="G24" s="7">
        <v>557459.26005000004</v>
      </c>
      <c r="H24" s="7">
        <v>584004.93910000008</v>
      </c>
      <c r="I24" s="7">
        <v>610550.61814999988</v>
      </c>
      <c r="J24" s="7">
        <v>637096.29719999991</v>
      </c>
      <c r="K24" s="7">
        <v>663641.97625000007</v>
      </c>
    </row>
    <row r="25" spans="4:11" ht="15">
      <c r="D25" s="31"/>
      <c r="E25" s="14">
        <v>3.5000000000000003E-2</v>
      </c>
      <c r="F25" s="7">
        <v>536246.58756249992</v>
      </c>
      <c r="G25" s="7">
        <v>563058.91694062494</v>
      </c>
      <c r="H25" s="7">
        <v>589871.24631874997</v>
      </c>
      <c r="I25" s="7">
        <v>616683.57569687488</v>
      </c>
      <c r="J25" s="7">
        <v>643495.9050749999</v>
      </c>
      <c r="K25" s="7">
        <v>670308.23445312493</v>
      </c>
    </row>
    <row r="26" spans="4:11" ht="15.75" thickBot="1">
      <c r="D26" s="31"/>
      <c r="E26" s="15">
        <v>0.04</v>
      </c>
      <c r="F26" s="7">
        <v>541632.25600000005</v>
      </c>
      <c r="G26" s="7">
        <v>568713.86880000005</v>
      </c>
      <c r="H26" s="7">
        <v>595795.48160000006</v>
      </c>
      <c r="I26" s="7">
        <v>622877.09440000006</v>
      </c>
      <c r="J26" s="7">
        <v>649958.70720000006</v>
      </c>
      <c r="K26" s="7">
        <v>677040.32000000007</v>
      </c>
    </row>
  </sheetData>
  <mergeCells count="6">
    <mergeCell ref="E1:K1"/>
    <mergeCell ref="B2:C2"/>
    <mergeCell ref="B7:C7"/>
    <mergeCell ref="F16:K16"/>
    <mergeCell ref="D18:D26"/>
    <mergeCell ref="E15:K15"/>
  </mergeCells>
  <phoneticPr fontId="3" type="noConversion"/>
  <conditionalFormatting sqref="F4:J12">
    <cfRule type="colorScale" priority="3">
      <colorScale>
        <cfvo type="min"/>
        <cfvo type="max"/>
        <color rgb="FFFCFCFF"/>
        <color theme="3" tint="0.499984740745262"/>
      </colorScale>
    </cfRule>
  </conditionalFormatting>
  <conditionalFormatting sqref="K4:K12">
    <cfRule type="colorScale" priority="2">
      <colorScale>
        <cfvo type="min"/>
        <cfvo type="max"/>
        <color rgb="FFFCFCFF"/>
        <color theme="3" tint="0.499984740745262"/>
      </colorScale>
    </cfRule>
  </conditionalFormatting>
  <conditionalFormatting sqref="F18:K26">
    <cfRule type="colorScale" priority="1">
      <colorScale>
        <cfvo type="min"/>
        <cfvo type="max"/>
        <color rgb="FFFCFCFF"/>
        <color theme="3" tint="0.499984740745262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Data Tables</vt:lpstr>
      <vt:lpstr>'Data Tables'!base</vt:lpstr>
      <vt:lpstr>'Data Tables'!bonus</vt:lpstr>
      <vt:lpstr>'Data Tables'!bonuys</vt:lpstr>
      <vt:lpstr>'Data Tables'!raise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Sriharsha KR</cp:lastModifiedBy>
  <dcterms:created xsi:type="dcterms:W3CDTF">2024-08-08T18:34:47Z</dcterms:created>
  <dcterms:modified xsi:type="dcterms:W3CDTF">2026-08-04T09:45:29Z</dcterms:modified>
</cp:coreProperties>
</file>