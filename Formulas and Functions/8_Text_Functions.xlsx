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Code\Data Analysis\Luke Barousse\Excel\ExcelPrac\excel-sandbox\Formulas and Functions\"/>
    </mc:Choice>
  </mc:AlternateContent>
  <xr:revisionPtr revIDLastSave="0" documentId="8_{B003B063-0EAE-409F-8620-771C10C26F8E}" xr6:coauthVersionLast="47" xr6:coauthVersionMax="47" xr10:uidLastSave="{00000000-0000-0000-0000-000000000000}"/>
  <bookViews>
    <workbookView xWindow="-120" yWindow="-120" windowWidth="29040" windowHeight="15720" xr2:uid="{00000000-000D-0000-FFFF-FFFF00000000}"/>
  </bookViews>
  <sheets>
    <sheet name="Data"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1" i="8" l="1"/>
  <c r="B32" i="8"/>
  <c r="B33" i="8"/>
  <c r="B34" i="8"/>
  <c r="B35" i="8"/>
  <c r="B36" i="8"/>
  <c r="B37" i="8"/>
  <c r="B38" i="8"/>
  <c r="B39" i="8"/>
  <c r="B40" i="8"/>
  <c r="B41" i="8"/>
  <c r="B42" i="8"/>
  <c r="B43" i="8"/>
  <c r="B44" i="8"/>
  <c r="B45" i="8"/>
  <c r="B30" i="8"/>
  <c r="A30" i="8" a="1"/>
  <c r="A30" i="8" s="1"/>
  <c r="A24" i="8"/>
  <c r="V3" i="8"/>
  <c r="V4" i="8"/>
  <c r="V5" i="8"/>
  <c r="V6" i="8"/>
  <c r="V7" i="8"/>
  <c r="V8" i="8"/>
  <c r="V9" i="8"/>
  <c r="V10" i="8"/>
  <c r="V11" i="8"/>
  <c r="V12" i="8"/>
  <c r="V13" i="8"/>
  <c r="V14" i="8"/>
  <c r="V15" i="8"/>
  <c r="V16" i="8"/>
  <c r="V17" i="8"/>
  <c r="V18" i="8"/>
  <c r="V19" i="8"/>
  <c r="V20" i="8"/>
  <c r="V21" i="8"/>
  <c r="U3" i="8"/>
  <c r="U4" i="8"/>
  <c r="U5" i="8"/>
  <c r="U6" i="8"/>
  <c r="U7" i="8"/>
  <c r="U8" i="8"/>
  <c r="U9" i="8"/>
  <c r="U10" i="8"/>
  <c r="U11" i="8"/>
  <c r="U12" i="8"/>
  <c r="U13" i="8"/>
  <c r="U14" i="8"/>
  <c r="U15" i="8"/>
  <c r="U16" i="8"/>
  <c r="U17" i="8"/>
  <c r="U18" i="8"/>
  <c r="U19" i="8"/>
  <c r="U20" i="8"/>
  <c r="U21" i="8"/>
  <c r="T3" i="8"/>
  <c r="T4" i="8"/>
  <c r="T5" i="8"/>
  <c r="T6" i="8"/>
  <c r="T7" i="8"/>
  <c r="T8" i="8"/>
  <c r="T9" i="8"/>
  <c r="T10" i="8"/>
  <c r="T11" i="8"/>
  <c r="T12" i="8"/>
  <c r="T13" i="8"/>
  <c r="T14" i="8"/>
  <c r="T15" i="8"/>
  <c r="T16" i="8"/>
  <c r="T17" i="8"/>
  <c r="T18" i="8"/>
  <c r="T19" i="8"/>
  <c r="T20" i="8"/>
  <c r="T21" i="8"/>
  <c r="V2" i="8"/>
  <c r="T2" i="8"/>
  <c r="U2" i="8" s="1"/>
  <c r="O3" i="8"/>
  <c r="O2" i="8"/>
  <c r="O4" i="8"/>
  <c r="O5" i="8"/>
  <c r="O6" i="8"/>
  <c r="O7" i="8"/>
  <c r="O8" i="8"/>
  <c r="O9" i="8"/>
  <c r="O10" i="8"/>
  <c r="O11" i="8"/>
  <c r="O12" i="8"/>
  <c r="O13" i="8"/>
  <c r="O14" i="8"/>
  <c r="O15" i="8"/>
  <c r="O16" i="8"/>
  <c r="O17" i="8"/>
  <c r="O18" i="8"/>
  <c r="O19" i="8"/>
  <c r="O20" i="8"/>
  <c r="O21"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R9" i="8" l="1"/>
  <c r="S9" i="8" s="1"/>
  <c r="R10" i="8"/>
  <c r="S10" i="8"/>
  <c r="R11" i="8"/>
  <c r="S11" i="8"/>
  <c r="R12" i="8"/>
  <c r="S12" i="8"/>
  <c r="R13" i="8"/>
  <c r="S13" i="8"/>
  <c r="R14" i="8"/>
  <c r="S14" i="8" s="1"/>
  <c r="R15" i="8"/>
  <c r="S15" i="8"/>
  <c r="R2"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<sst xmlns="http://schemas.openxmlformats.org/spreadsheetml/2006/main" count="254" uniqueCount="110">
  <si>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</si>
  <si>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</si>
  <si>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</si>
  <si>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</si>
  <si>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</si>
  <si>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</si>
  <si>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</si>
  <si>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</si>
  <si>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</si>
  <si>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</si>
  <si>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</si>
  <si>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</si>
  <si>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</si>
  <si>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</si>
  <si>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</si>
  <si>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</si>
  <si>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</si>
  <si>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</si>
  <si>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</si>
  <si>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</si>
  <si>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</si>
  <si>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</si>
  <si>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</si>
  <si>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</si>
  <si>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</si>
  <si>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</si>
  <si>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</si>
  <si>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</si>
  <si>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</si>
  <si>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</si>
  <si>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</si>
  <si>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</si>
  <si>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</si>
  <si>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</si>
  <si>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</si>
  <si>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</si>
  <si>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</si>
  <si>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</si>
  <si>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</si>
  <si>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</si>
  <si>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</si>
  <si>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</si>
  <si>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</si>
  <si>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</si>
  <si>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</si>
  <si>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</si>
  <si>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</si>
  <si>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</si>
  <si>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</si>
  <si>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</si>
  <si>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</si>
  <si>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</si>
  <si>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</si>
  <si>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</si>
  <si>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</si>
  <si>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</si>
  <si>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</si>
  <si>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</si>
  <si>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</si>
  <si>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</si>
  <si>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</si>
  <si>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</si>
  <si>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</si>
  <si>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Find and MID (State)</t>
  </si>
  <si>
    <t>First Name</t>
  </si>
  <si>
    <t>Last Name</t>
  </si>
  <si>
    <t>=TEXTSPLIT(A3, ", ")</t>
  </si>
  <si>
    <t>=UNIQUE(TRANSPOSE(6:6))</t>
  </si>
  <si>
    <t>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</si>
  <si>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</si>
  <si>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</si>
  <si>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</si>
  <si>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</si>
  <si>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</si>
  <si>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</si>
  <si>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</si>
  <si>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</si>
  <si>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</si>
  <si>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</si>
  <si>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</si>
  <si>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</si>
  <si>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</si>
  <si>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</si>
  <si>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</si>
  <si>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</si>
  <si>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</si>
  <si>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</si>
  <si>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</si>
  <si>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</si>
  <si>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</si>
  <si>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</si>
  <si>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</si>
  <si>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</si>
  <si>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"=TEXTSPLIT Not available"</t>
  </si>
  <si>
    <t>Kafka</t>
  </si>
  <si>
    <t>DataBricks</t>
  </si>
  <si>
    <t>Spark</t>
  </si>
  <si>
    <t>Python</t>
  </si>
  <si>
    <t>GCP</t>
  </si>
  <si>
    <t>Power BI</t>
  </si>
  <si>
    <t>Airflow</t>
  </si>
  <si>
    <t>Hadoop</t>
  </si>
  <si>
    <t>R</t>
  </si>
  <si>
    <t>Azure</t>
  </si>
  <si>
    <t>Java</t>
  </si>
  <si>
    <t>SQL</t>
  </si>
  <si>
    <t>Snowflake</t>
  </si>
  <si>
    <t>Scala</t>
  </si>
  <si>
    <t>Excel</t>
  </si>
  <si>
    <t>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</si>
</sst>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 x14ac:knownFonts="1">
    <font>
      <sz val="11"/>
      <color theme="1"/>
      <name val="Calibri"/>
      <family val="2"/>
      <scheme val="minor"/>
    </font>
    <font>
      <b/>
      <sz val="11"/>
      <color theme="1"/>
      <name val="Calibri"/>
      <family val="2"/>
      <scheme val="minor"/>
    </font>
    <font>
      <sz val="8"/>
      <name val="Calibri"/>
      <family val="2"/>
      <scheme val="minor"/>
    </font>
    <font>
      <sz val="11"/>
      <color rgb="FF9C0006"/>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C7CE"/>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3" fillId="3" borderId="0" applyNumberFormat="0" applyBorder="0" applyAlignment="0" applyProtection="0"/>
  </cellStyleXfs>
  <cellXfs count="19">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2" borderId="0" xfId="0" applyFont="1" applyFill="1"/>
    <xf numFmtId="0" fontId="1" fillId="2" borderId="0" xfId="0" quotePrefix="1" applyFont="1" applyFill="1"/>
    <xf numFmtId="0" fontId="1" fillId="2" borderId="0" xfId="0" applyFont="1" applyFill="1" applyAlignment="1">
      <alignment horizontal="center"/>
    </xf>
    <xf numFmtId="0" fontId="3" fillId="3" borderId="0" xfId="1" applyAlignment="1">
      <alignment horizontal="center"/>
    </xf>
    <xf numFmtId="0" fontId="1" fillId="2" borderId="0" xfId="0" quotePrefix="1" applyFont="1" applyFill="1" applyAlignment="1">
      <alignment horizontal="center"/>
    </xf>
    <xf numFmtId="0" fontId="1" fillId="2" borderId="0" xfId="0" quotePrefix="1" applyFont="1" applyFill="1" applyAlignment="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Skill</a:t>
            </a:r>
            <a:r>
              <a:rPr lang="en-IN" baseline="0"/>
              <a:t>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Data!$A$30:$A$45</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Data!$B$30:$B$45</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9AF8-4DCC-A835-3EAD3D3BB011}"/>
            </c:ext>
          </c:extLst>
        </c:ser>
        <c:dLbls>
          <c:showLegendKey val="0"/>
          <c:showVal val="0"/>
          <c:showCatName val="0"/>
          <c:showSerName val="0"/>
          <c:showPercent val="0"/>
          <c:showBubbleSize val="0"/>
        </c:dLbls>
        <c:gapWidth val="182"/>
        <c:axId val="2107613935"/>
        <c:axId val="2107121743"/>
      </c:barChart>
      <c:catAx>
        <c:axId val="210761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121743"/>
        <c:crosses val="autoZero"/>
        <c:auto val="1"/>
        <c:lblAlgn val="ctr"/>
        <c:lblOffset val="100"/>
        <c:noMultiLvlLbl val="0"/>
      </c:catAx>
      <c:valAx>
        <c:axId val="210712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13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186169</xdr:colOff>
      <xdr:row>28</xdr:row>
      <xdr:rowOff>13855</xdr:rowOff>
    </xdr:from>
    <xdr:to>
      <xdr:col>7</xdr:col>
      <xdr:colOff>450271</xdr:colOff>
      <xdr:row>44</xdr:row>
      <xdr:rowOff>181841</xdr:rowOff>
    </xdr:to>
    <xdr:graphicFrame macro="">
      <xdr:nvGraphicFramePr>
        <xdr:cNvPr id="2" name="Chart 1">
          <a:extLst>
            <a:ext uri="{FF2B5EF4-FFF2-40B4-BE49-F238E27FC236}">
              <a16:creationId xmlns:a16="http://schemas.microsoft.com/office/drawing/2014/main" id="{7A62C2BB-94A9-4A48-8CC1-216BB27FC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BW45"/>
  <sheetViews>
    <sheetView tabSelected="1" topLeftCell="A10" zoomScale="110" zoomScaleNormal="110" workbookViewId="0">
      <selection activeCell="H35" sqref="H35"/>
    </sheetView>
  </sheetViews>
  <sheetFormatPr defaultRowHeight="15" x14ac:dyDescent="0.25"/>
  <cols>
    <col min="1" max="1" width="25.285156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40"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6.42578125" customWidth="1"/>
    <col min="17" max="19" width="0" hidden="1" customWidth="1"/>
  </cols>
  <sheetData>
    <row r="1" spans="1:22" x14ac:dyDescent="0.25">
      <c r="A1" s="2" t="s">
        <v>68</v>
      </c>
      <c r="B1" s="3" t="s">
        <v>2</v>
      </c>
      <c r="C1" s="3" t="s">
        <v>3</v>
      </c>
      <c r="D1" s="10" t="s">
        <v>90</v>
      </c>
      <c r="E1" s="3" t="s">
        <v>0</v>
      </c>
      <c r="F1" s="3" t="s">
        <v>21</v>
      </c>
      <c r="G1" s="3" t="s">
        <v>22</v>
      </c>
      <c r="H1" s="4" t="s">
        <v>4</v>
      </c>
      <c r="J1" s="13" t="s">
        <v>62</v>
      </c>
      <c r="L1" s="13" t="s">
        <v>64</v>
      </c>
      <c r="M1" s="13" t="s">
        <v>65</v>
      </c>
      <c r="O1" s="13" t="s">
        <v>89</v>
      </c>
      <c r="Q1" s="15" t="s">
        <v>63</v>
      </c>
      <c r="R1" s="15"/>
      <c r="S1" s="15"/>
      <c r="T1" s="15" t="s">
        <v>63</v>
      </c>
      <c r="U1" s="15"/>
      <c r="V1" s="15"/>
    </row>
    <row r="2" spans="1:22" x14ac:dyDescent="0.25">
      <c r="A2" s="5" t="s">
        <v>70</v>
      </c>
      <c r="B2" s="1" t="s">
        <v>42</v>
      </c>
      <c r="C2" s="1" t="s">
        <v>1</v>
      </c>
      <c r="D2" s="11">
        <v>44971.640451388892</v>
      </c>
      <c r="E2" s="1" t="s">
        <v>43</v>
      </c>
      <c r="F2" s="1" t="s">
        <v>23</v>
      </c>
      <c r="G2" s="1" t="s">
        <v>24</v>
      </c>
      <c r="H2" s="6" t="s">
        <v>11</v>
      </c>
      <c r="J2" t="str">
        <f>_xlfn.TEXTJOIN(", ",TRUE,F2,G2)</f>
        <v>457 Oak St, San Jose, CA, 95101</v>
      </c>
      <c r="L2" s="16" t="s">
        <v>93</v>
      </c>
      <c r="M2" s="16"/>
      <c r="O2" t="str">
        <f>RIGHT(A2,3)</f>
        <v>548</v>
      </c>
      <c r="Q2">
        <f>FIND(",", G2)+LEN(", ")</f>
        <v>11</v>
      </c>
      <c r="R2">
        <f>FIND(",",G2,Q2)</f>
        <v>13</v>
      </c>
      <c r="S2" t="str">
        <f>MID(G2,Q2,R2-Q2)</f>
        <v>CA</v>
      </c>
      <c r="T2">
        <f>FIND(",",G2)+2</f>
        <v>11</v>
      </c>
      <c r="U2">
        <f>FIND(",",G2,T2+1)</f>
        <v>13</v>
      </c>
      <c r="V2" t="str">
        <f>MID(G2,T2,U2-T2)</f>
        <v>CA</v>
      </c>
    </row>
    <row r="3" spans="1:22" x14ac:dyDescent="0.25">
      <c r="A3" s="5" t="s">
        <v>69</v>
      </c>
      <c r="B3" s="1" t="s">
        <v>38</v>
      </c>
      <c r="C3" s="1" t="s">
        <v>5</v>
      </c>
      <c r="D3" s="11">
        <v>45055.40662037037</v>
      </c>
      <c r="E3" s="1" t="s">
        <v>39</v>
      </c>
      <c r="F3" s="1" t="s">
        <v>25</v>
      </c>
      <c r="G3" s="1" t="s">
        <v>26</v>
      </c>
      <c r="H3" s="6" t="s">
        <v>14</v>
      </c>
      <c r="J3" t="str">
        <f t="shared" ref="J3:J21" si="0">_xlfn.TEXTJOIN(", ",TRUE,F3,G3)</f>
        <v>203 Birch St, Chicago, IL, 60601</v>
      </c>
      <c r="L3" s="16" t="s">
        <v>93</v>
      </c>
      <c r="M3" s="16"/>
      <c r="O3" t="str">
        <f t="shared" ref="O3:O21" si="1">RIGHT(A3,3)</f>
        <v>549</v>
      </c>
      <c r="Q3">
        <f t="shared" ref="Q3:Q21" si="2">FIND(",", G3)+LEN(", ")</f>
        <v>10</v>
      </c>
      <c r="R3">
        <f t="shared" ref="R3:R21" si="3">FIND(",",G3,Q3)</f>
        <v>12</v>
      </c>
      <c r="S3" t="str">
        <f t="shared" ref="S3:S21" si="4">MID(G3,Q3,R3-Q3)</f>
        <v>IL</v>
      </c>
      <c r="T3">
        <f t="shared" ref="T3:T21" si="5">FIND(",",G3)+2</f>
        <v>10</v>
      </c>
      <c r="U3">
        <f t="shared" ref="U3:U21" si="6">FIND(",",G3,T3+1)</f>
        <v>12</v>
      </c>
      <c r="V3" t="str">
        <f t="shared" ref="V3:V21" si="7">MID(G3,T3,U3-T3)</f>
        <v>IL</v>
      </c>
    </row>
    <row r="4" spans="1:22" x14ac:dyDescent="0.25">
      <c r="A4" s="5" t="s">
        <v>71</v>
      </c>
      <c r="B4" s="1" t="s">
        <v>58</v>
      </c>
      <c r="C4" s="1" t="s">
        <v>12</v>
      </c>
      <c r="D4" s="11">
        <v>45128.729710648149</v>
      </c>
      <c r="E4" s="1" t="s">
        <v>59</v>
      </c>
      <c r="F4" s="1" t="s">
        <v>27</v>
      </c>
      <c r="G4" s="1" t="s">
        <v>26</v>
      </c>
      <c r="H4" s="6" t="s">
        <v>6</v>
      </c>
      <c r="J4" t="str">
        <f t="shared" si="0"/>
        <v>790 Pine St, Chicago, IL, 60601</v>
      </c>
      <c r="L4" s="16" t="s">
        <v>93</v>
      </c>
      <c r="M4" s="16"/>
      <c r="O4" t="str">
        <f t="shared" si="1"/>
        <v>550</v>
      </c>
      <c r="Q4">
        <f t="shared" si="2"/>
        <v>10</v>
      </c>
      <c r="R4">
        <f t="shared" si="3"/>
        <v>12</v>
      </c>
      <c r="S4" t="str">
        <f t="shared" si="4"/>
        <v>IL</v>
      </c>
      <c r="T4">
        <f t="shared" si="5"/>
        <v>10</v>
      </c>
      <c r="U4">
        <f t="shared" si="6"/>
        <v>12</v>
      </c>
      <c r="V4" t="str">
        <f t="shared" si="7"/>
        <v>IL</v>
      </c>
    </row>
    <row r="5" spans="1:22" x14ac:dyDescent="0.25">
      <c r="A5" s="5" t="s">
        <v>72</v>
      </c>
      <c r="B5" s="1" t="s">
        <v>42</v>
      </c>
      <c r="C5" s="1" t="s">
        <v>5</v>
      </c>
      <c r="D5" s="11">
        <v>45173.302187499998</v>
      </c>
      <c r="E5" s="1" t="s">
        <v>43</v>
      </c>
      <c r="F5" s="1" t="s">
        <v>23</v>
      </c>
      <c r="G5" s="1" t="s">
        <v>24</v>
      </c>
      <c r="H5" s="6" t="s">
        <v>11</v>
      </c>
      <c r="J5" t="str">
        <f t="shared" si="0"/>
        <v>457 Oak St, San Jose, CA, 95101</v>
      </c>
      <c r="L5" s="16" t="s">
        <v>93</v>
      </c>
      <c r="M5" s="16"/>
      <c r="O5" t="str">
        <f t="shared" si="1"/>
        <v>551</v>
      </c>
      <c r="Q5">
        <f t="shared" si="2"/>
        <v>11</v>
      </c>
      <c r="R5">
        <f t="shared" si="3"/>
        <v>13</v>
      </c>
      <c r="S5" t="str">
        <f t="shared" si="4"/>
        <v>CA</v>
      </c>
      <c r="T5">
        <f t="shared" si="5"/>
        <v>11</v>
      </c>
      <c r="U5">
        <f t="shared" si="6"/>
        <v>13</v>
      </c>
      <c r="V5" t="str">
        <f t="shared" si="7"/>
        <v>CA</v>
      </c>
    </row>
    <row r="6" spans="1:22" x14ac:dyDescent="0.25">
      <c r="A6" s="5" t="s">
        <v>73</v>
      </c>
      <c r="B6" s="1" t="s">
        <v>40</v>
      </c>
      <c r="C6" s="1" t="s">
        <v>7</v>
      </c>
      <c r="D6" s="11">
        <v>45248.70857638889</v>
      </c>
      <c r="E6" s="1" t="s">
        <v>41</v>
      </c>
      <c r="F6" s="1" t="s">
        <v>29</v>
      </c>
      <c r="G6" s="1" t="s">
        <v>30</v>
      </c>
      <c r="H6" s="6" t="s">
        <v>10</v>
      </c>
      <c r="J6" t="str">
        <f t="shared" si="0"/>
        <v>459 Oak St, Philadelphia, PA, 19101</v>
      </c>
      <c r="L6" s="16" t="s">
        <v>93</v>
      </c>
      <c r="M6" s="16"/>
      <c r="O6" t="str">
        <f t="shared" si="1"/>
        <v>552</v>
      </c>
      <c r="Q6">
        <f t="shared" si="2"/>
        <v>15</v>
      </c>
      <c r="R6">
        <f t="shared" si="3"/>
        <v>17</v>
      </c>
      <c r="S6" t="str">
        <f t="shared" si="4"/>
        <v>PA</v>
      </c>
      <c r="T6">
        <f t="shared" si="5"/>
        <v>15</v>
      </c>
      <c r="U6">
        <f t="shared" si="6"/>
        <v>17</v>
      </c>
      <c r="V6" t="str">
        <f t="shared" si="7"/>
        <v>PA</v>
      </c>
    </row>
    <row r="7" spans="1:22" x14ac:dyDescent="0.25">
      <c r="A7" s="5" t="s">
        <v>74</v>
      </c>
      <c r="B7" s="1" t="s">
        <v>46</v>
      </c>
      <c r="C7" s="1" t="s">
        <v>9</v>
      </c>
      <c r="D7" s="11">
        <v>45302.531921296293</v>
      </c>
      <c r="E7" s="1" t="s">
        <v>47</v>
      </c>
      <c r="F7" s="1" t="s">
        <v>31</v>
      </c>
      <c r="G7" s="1" t="s">
        <v>30</v>
      </c>
      <c r="H7" s="6" t="s">
        <v>15</v>
      </c>
      <c r="J7" t="str">
        <f t="shared" si="0"/>
        <v>204 Birch St, Philadelphia, PA, 19101</v>
      </c>
      <c r="L7" s="16" t="s">
        <v>93</v>
      </c>
      <c r="M7" s="16"/>
      <c r="O7" t="str">
        <f t="shared" si="1"/>
        <v>553</v>
      </c>
      <c r="Q7">
        <f t="shared" si="2"/>
        <v>15</v>
      </c>
      <c r="R7">
        <f t="shared" si="3"/>
        <v>17</v>
      </c>
      <c r="S7" t="str">
        <f t="shared" si="4"/>
        <v>PA</v>
      </c>
      <c r="T7">
        <f t="shared" si="5"/>
        <v>15</v>
      </c>
      <c r="U7">
        <f t="shared" si="6"/>
        <v>17</v>
      </c>
      <c r="V7" t="str">
        <f t="shared" si="7"/>
        <v>PA</v>
      </c>
    </row>
    <row r="8" spans="1:22" x14ac:dyDescent="0.25">
      <c r="A8" s="5" t="s">
        <v>75</v>
      </c>
      <c r="B8" s="1" t="s">
        <v>58</v>
      </c>
      <c r="C8" s="1" t="s">
        <v>5</v>
      </c>
      <c r="D8" s="11">
        <v>45354.687881944446</v>
      </c>
      <c r="E8" s="1" t="s">
        <v>59</v>
      </c>
      <c r="F8" s="1" t="s">
        <v>27</v>
      </c>
      <c r="G8" s="1" t="s">
        <v>26</v>
      </c>
      <c r="H8" s="6" t="s">
        <v>6</v>
      </c>
      <c r="J8" t="str">
        <f t="shared" si="0"/>
        <v>790 Pine St, Chicago, IL, 60601</v>
      </c>
      <c r="L8" s="16" t="s">
        <v>93</v>
      </c>
      <c r="M8" s="16"/>
      <c r="O8" t="str">
        <f t="shared" si="1"/>
        <v>554</v>
      </c>
      <c r="Q8">
        <f t="shared" si="2"/>
        <v>10</v>
      </c>
      <c r="R8">
        <f t="shared" si="3"/>
        <v>12</v>
      </c>
      <c r="S8" t="str">
        <f t="shared" si="4"/>
        <v>IL</v>
      </c>
      <c r="T8">
        <f t="shared" si="5"/>
        <v>10</v>
      </c>
      <c r="U8">
        <f t="shared" si="6"/>
        <v>12</v>
      </c>
      <c r="V8" t="str">
        <f t="shared" si="7"/>
        <v>IL</v>
      </c>
    </row>
    <row r="9" spans="1:22" x14ac:dyDescent="0.25">
      <c r="A9" s="5" t="s">
        <v>76</v>
      </c>
      <c r="B9" s="1" t="s">
        <v>46</v>
      </c>
      <c r="C9" s="1" t="s">
        <v>1</v>
      </c>
      <c r="D9" s="11">
        <v>45408.340810185182</v>
      </c>
      <c r="E9" s="1" t="s">
        <v>47</v>
      </c>
      <c r="F9" s="1" t="s">
        <v>31</v>
      </c>
      <c r="G9" s="1" t="s">
        <v>30</v>
      </c>
      <c r="H9" s="6" t="s">
        <v>15</v>
      </c>
      <c r="J9" t="str">
        <f t="shared" si="0"/>
        <v>204 Birch St, Philadelphia, PA, 19101</v>
      </c>
      <c r="L9" s="16" t="s">
        <v>93</v>
      </c>
      <c r="M9" s="16"/>
      <c r="O9" t="str">
        <f t="shared" si="1"/>
        <v>555</v>
      </c>
      <c r="Q9">
        <f t="shared" si="2"/>
        <v>15</v>
      </c>
      <c r="R9">
        <f t="shared" si="3"/>
        <v>17</v>
      </c>
      <c r="S9" t="str">
        <f t="shared" si="4"/>
        <v>PA</v>
      </c>
      <c r="T9">
        <f t="shared" si="5"/>
        <v>15</v>
      </c>
      <c r="U9">
        <f t="shared" si="6"/>
        <v>17</v>
      </c>
      <c r="V9" t="str">
        <f t="shared" si="7"/>
        <v>PA</v>
      </c>
    </row>
    <row r="10" spans="1:22" x14ac:dyDescent="0.25">
      <c r="A10" s="5" t="s">
        <v>77</v>
      </c>
      <c r="B10" s="1" t="s">
        <v>50</v>
      </c>
      <c r="C10" s="1" t="s">
        <v>7</v>
      </c>
      <c r="D10" s="11">
        <v>45458.743333333332</v>
      </c>
      <c r="E10" s="1" t="s">
        <v>51</v>
      </c>
      <c r="F10" s="1" t="s">
        <v>33</v>
      </c>
      <c r="G10" s="1" t="s">
        <v>26</v>
      </c>
      <c r="H10" s="6" t="s">
        <v>18</v>
      </c>
      <c r="J10" t="str">
        <f t="shared" si="0"/>
        <v>123 Elm St, Chicago, IL, 60601</v>
      </c>
      <c r="L10" s="16" t="s">
        <v>93</v>
      </c>
      <c r="M10" s="16"/>
      <c r="O10" t="str">
        <f t="shared" si="1"/>
        <v>556</v>
      </c>
      <c r="Q10">
        <f t="shared" si="2"/>
        <v>10</v>
      </c>
      <c r="R10">
        <f t="shared" si="3"/>
        <v>12</v>
      </c>
      <c r="S10" t="str">
        <f t="shared" si="4"/>
        <v>IL</v>
      </c>
      <c r="T10">
        <f t="shared" si="5"/>
        <v>10</v>
      </c>
      <c r="U10">
        <f t="shared" si="6"/>
        <v>12</v>
      </c>
      <c r="V10" t="str">
        <f t="shared" si="7"/>
        <v>IL</v>
      </c>
    </row>
    <row r="11" spans="1:22" x14ac:dyDescent="0.25">
      <c r="A11" s="5" t="s">
        <v>78</v>
      </c>
      <c r="B11" s="1" t="s">
        <v>54</v>
      </c>
      <c r="C11" s="1" t="s">
        <v>12</v>
      </c>
      <c r="D11" s="11">
        <v>45480.608055555553</v>
      </c>
      <c r="E11" s="1" t="s">
        <v>55</v>
      </c>
      <c r="F11" s="1" t="s">
        <v>33</v>
      </c>
      <c r="G11" s="1" t="s">
        <v>32</v>
      </c>
      <c r="H11" s="6" t="s">
        <v>13</v>
      </c>
      <c r="J11" t="str">
        <f t="shared" si="0"/>
        <v>123 Elm St, Los Angeles, CA, 90001</v>
      </c>
      <c r="L11" s="16" t="s">
        <v>93</v>
      </c>
      <c r="M11" s="16"/>
      <c r="O11" t="str">
        <f t="shared" si="1"/>
        <v>557</v>
      </c>
      <c r="Q11">
        <f t="shared" si="2"/>
        <v>14</v>
      </c>
      <c r="R11">
        <f t="shared" si="3"/>
        <v>16</v>
      </c>
      <c r="S11" t="str">
        <f t="shared" si="4"/>
        <v>CA</v>
      </c>
      <c r="T11">
        <f t="shared" si="5"/>
        <v>14</v>
      </c>
      <c r="U11">
        <f t="shared" si="6"/>
        <v>16</v>
      </c>
      <c r="V11" t="str">
        <f t="shared" si="7"/>
        <v>CA</v>
      </c>
    </row>
    <row r="12" spans="1:22" x14ac:dyDescent="0.25">
      <c r="A12" s="5" t="s">
        <v>79</v>
      </c>
      <c r="B12" s="1" t="s">
        <v>44</v>
      </c>
      <c r="C12" s="1" t="s">
        <v>7</v>
      </c>
      <c r="D12" s="11">
        <v>45455.284930555557</v>
      </c>
      <c r="E12" s="1" t="s">
        <v>45</v>
      </c>
      <c r="F12" s="1" t="s">
        <v>33</v>
      </c>
      <c r="G12" s="1" t="s">
        <v>34</v>
      </c>
      <c r="H12" s="6" t="s">
        <v>17</v>
      </c>
      <c r="J12" t="str">
        <f t="shared" si="0"/>
        <v>123 Elm St, San Diego, CA, 92101</v>
      </c>
      <c r="L12" s="16" t="s">
        <v>93</v>
      </c>
      <c r="M12" s="16"/>
      <c r="O12" t="str">
        <f t="shared" si="1"/>
        <v>558</v>
      </c>
      <c r="Q12">
        <f t="shared" si="2"/>
        <v>12</v>
      </c>
      <c r="R12">
        <f t="shared" si="3"/>
        <v>14</v>
      </c>
      <c r="S12" t="str">
        <f t="shared" si="4"/>
        <v>CA</v>
      </c>
      <c r="T12">
        <f t="shared" si="5"/>
        <v>12</v>
      </c>
      <c r="U12">
        <f t="shared" si="6"/>
        <v>14</v>
      </c>
      <c r="V12" t="str">
        <f t="shared" si="7"/>
        <v>CA</v>
      </c>
    </row>
    <row r="13" spans="1:22" x14ac:dyDescent="0.25">
      <c r="A13" s="5" t="s">
        <v>80</v>
      </c>
      <c r="B13" s="1" t="s">
        <v>56</v>
      </c>
      <c r="C13" s="1" t="s">
        <v>9</v>
      </c>
      <c r="D13" s="11">
        <v>44951.552141203705</v>
      </c>
      <c r="E13" s="1" t="s">
        <v>57</v>
      </c>
      <c r="F13" s="1" t="s">
        <v>35</v>
      </c>
      <c r="G13" s="1" t="s">
        <v>26</v>
      </c>
      <c r="H13" s="6" t="s">
        <v>16</v>
      </c>
      <c r="J13" t="str">
        <f t="shared" si="0"/>
        <v>202 Birch St, Chicago, IL, 60601</v>
      </c>
      <c r="L13" s="16" t="s">
        <v>93</v>
      </c>
      <c r="M13" s="16"/>
      <c r="O13" t="str">
        <f t="shared" si="1"/>
        <v>559</v>
      </c>
      <c r="Q13">
        <f t="shared" si="2"/>
        <v>10</v>
      </c>
      <c r="R13">
        <f t="shared" si="3"/>
        <v>12</v>
      </c>
      <c r="S13" t="str">
        <f t="shared" si="4"/>
        <v>IL</v>
      </c>
      <c r="T13">
        <f t="shared" si="5"/>
        <v>10</v>
      </c>
      <c r="U13">
        <f t="shared" si="6"/>
        <v>12</v>
      </c>
      <c r="V13" t="str">
        <f t="shared" si="7"/>
        <v>IL</v>
      </c>
    </row>
    <row r="14" spans="1:22" x14ac:dyDescent="0.25">
      <c r="A14" s="5" t="s">
        <v>81</v>
      </c>
      <c r="B14" s="1" t="s">
        <v>46</v>
      </c>
      <c r="C14" s="1" t="s">
        <v>12</v>
      </c>
      <c r="D14" s="11">
        <v>45002.490034722221</v>
      </c>
      <c r="E14" s="1" t="s">
        <v>47</v>
      </c>
      <c r="F14" s="1" t="s">
        <v>31</v>
      </c>
      <c r="G14" s="1" t="s">
        <v>30</v>
      </c>
      <c r="H14" s="6" t="s">
        <v>15</v>
      </c>
      <c r="J14" t="str">
        <f t="shared" si="0"/>
        <v>204 Birch St, Philadelphia, PA, 19101</v>
      </c>
      <c r="L14" s="16" t="s">
        <v>93</v>
      </c>
      <c r="M14" s="16"/>
      <c r="O14" t="str">
        <f t="shared" si="1"/>
        <v>560</v>
      </c>
      <c r="Q14">
        <f t="shared" si="2"/>
        <v>15</v>
      </c>
      <c r="R14">
        <f t="shared" si="3"/>
        <v>17</v>
      </c>
      <c r="S14" t="str">
        <f t="shared" si="4"/>
        <v>PA</v>
      </c>
      <c r="T14">
        <f t="shared" si="5"/>
        <v>15</v>
      </c>
      <c r="U14">
        <f t="shared" si="6"/>
        <v>17</v>
      </c>
      <c r="V14" t="str">
        <f t="shared" si="7"/>
        <v>PA</v>
      </c>
    </row>
    <row r="15" spans="1:22" x14ac:dyDescent="0.25">
      <c r="A15" s="5" t="s">
        <v>82</v>
      </c>
      <c r="B15" s="1" t="s">
        <v>52</v>
      </c>
      <c r="C15" s="1" t="s">
        <v>9</v>
      </c>
      <c r="D15" s="11">
        <v>45078.417256944442</v>
      </c>
      <c r="E15" s="1" t="s">
        <v>53</v>
      </c>
      <c r="F15" s="1" t="s">
        <v>33</v>
      </c>
      <c r="G15" s="1" t="s">
        <v>26</v>
      </c>
      <c r="H15" s="6" t="s">
        <v>19</v>
      </c>
      <c r="J15" t="str">
        <f t="shared" si="0"/>
        <v>123 Elm St, Chicago, IL, 60601</v>
      </c>
      <c r="L15" s="16" t="s">
        <v>93</v>
      </c>
      <c r="M15" s="16"/>
      <c r="O15" t="str">
        <f t="shared" si="1"/>
        <v>561</v>
      </c>
      <c r="Q15">
        <f t="shared" si="2"/>
        <v>10</v>
      </c>
      <c r="R15">
        <f t="shared" si="3"/>
        <v>12</v>
      </c>
      <c r="S15" t="str">
        <f t="shared" si="4"/>
        <v>IL</v>
      </c>
      <c r="T15">
        <f t="shared" si="5"/>
        <v>10</v>
      </c>
      <c r="U15">
        <f t="shared" si="6"/>
        <v>12</v>
      </c>
      <c r="V15" t="str">
        <f t="shared" si="7"/>
        <v>IL</v>
      </c>
    </row>
    <row r="16" spans="1:22" x14ac:dyDescent="0.25">
      <c r="A16" s="5" t="s">
        <v>83</v>
      </c>
      <c r="B16" s="1" t="s">
        <v>60</v>
      </c>
      <c r="C16" s="1" t="s">
        <v>9</v>
      </c>
      <c r="D16" s="11">
        <v>45168.729328703703</v>
      </c>
      <c r="E16" s="1" t="s">
        <v>61</v>
      </c>
      <c r="F16" s="1" t="s">
        <v>28</v>
      </c>
      <c r="G16" s="1" t="s">
        <v>26</v>
      </c>
      <c r="H16" s="6" t="s">
        <v>20</v>
      </c>
      <c r="J16" t="str">
        <f t="shared" si="0"/>
        <v>456 Oak St, Chicago, IL, 60601</v>
      </c>
      <c r="L16" s="16" t="s">
        <v>93</v>
      </c>
      <c r="M16" s="16"/>
      <c r="O16" t="str">
        <f t="shared" si="1"/>
        <v>562</v>
      </c>
      <c r="Q16">
        <f t="shared" si="2"/>
        <v>10</v>
      </c>
      <c r="R16">
        <f t="shared" si="3"/>
        <v>12</v>
      </c>
      <c r="S16" t="str">
        <f t="shared" si="4"/>
        <v>IL</v>
      </c>
      <c r="T16">
        <f t="shared" si="5"/>
        <v>10</v>
      </c>
      <c r="U16">
        <f t="shared" si="6"/>
        <v>12</v>
      </c>
      <c r="V16" t="str">
        <f t="shared" si="7"/>
        <v>IL</v>
      </c>
    </row>
    <row r="17" spans="1:75" x14ac:dyDescent="0.25">
      <c r="A17" s="5" t="s">
        <v>84</v>
      </c>
      <c r="B17" s="1" t="s">
        <v>38</v>
      </c>
      <c r="C17" s="1" t="s">
        <v>7</v>
      </c>
      <c r="D17" s="11">
        <v>45218.319780092592</v>
      </c>
      <c r="E17" s="1" t="s">
        <v>39</v>
      </c>
      <c r="F17" s="1" t="s">
        <v>25</v>
      </c>
      <c r="G17" s="1" t="s">
        <v>37</v>
      </c>
      <c r="H17" s="6" t="s">
        <v>14</v>
      </c>
      <c r="J17" t="str">
        <f t="shared" si="0"/>
        <v>203 Birch St, Chicago, IL, 60602</v>
      </c>
      <c r="L17" s="16" t="s">
        <v>93</v>
      </c>
      <c r="M17" s="16"/>
      <c r="O17" t="str">
        <f t="shared" si="1"/>
        <v>563</v>
      </c>
      <c r="Q17">
        <f t="shared" si="2"/>
        <v>10</v>
      </c>
      <c r="R17">
        <f t="shared" si="3"/>
        <v>12</v>
      </c>
      <c r="S17" t="str">
        <f t="shared" si="4"/>
        <v>IL</v>
      </c>
      <c r="T17">
        <f t="shared" si="5"/>
        <v>10</v>
      </c>
      <c r="U17">
        <f t="shared" si="6"/>
        <v>12</v>
      </c>
      <c r="V17" t="str">
        <f t="shared" si="7"/>
        <v>IL</v>
      </c>
    </row>
    <row r="18" spans="1:75" x14ac:dyDescent="0.25">
      <c r="A18" s="5" t="s">
        <v>85</v>
      </c>
      <c r="B18" s="1" t="s">
        <v>40</v>
      </c>
      <c r="C18" s="1" t="s">
        <v>12</v>
      </c>
      <c r="D18" s="11">
        <v>45350.719236111108</v>
      </c>
      <c r="E18" s="1" t="s">
        <v>41</v>
      </c>
      <c r="F18" s="1" t="s">
        <v>29</v>
      </c>
      <c r="G18" s="1" t="s">
        <v>30</v>
      </c>
      <c r="H18" s="6" t="s">
        <v>10</v>
      </c>
      <c r="J18" t="str">
        <f t="shared" si="0"/>
        <v>459 Oak St, Philadelphia, PA, 19101</v>
      </c>
      <c r="L18" s="16" t="s">
        <v>93</v>
      </c>
      <c r="M18" s="16"/>
      <c r="O18" t="str">
        <f t="shared" si="1"/>
        <v>564</v>
      </c>
      <c r="Q18">
        <f t="shared" si="2"/>
        <v>15</v>
      </c>
      <c r="R18">
        <f t="shared" si="3"/>
        <v>17</v>
      </c>
      <c r="S18" t="str">
        <f t="shared" si="4"/>
        <v>PA</v>
      </c>
      <c r="T18">
        <f t="shared" si="5"/>
        <v>15</v>
      </c>
      <c r="U18">
        <f t="shared" si="6"/>
        <v>17</v>
      </c>
      <c r="V18" t="str">
        <f t="shared" si="7"/>
        <v>PA</v>
      </c>
    </row>
    <row r="19" spans="1:75" x14ac:dyDescent="0.25">
      <c r="A19" s="5" t="s">
        <v>86</v>
      </c>
      <c r="B19" s="1" t="s">
        <v>48</v>
      </c>
      <c r="C19" s="1" t="s">
        <v>7</v>
      </c>
      <c r="D19" s="11">
        <v>45418.726354166669</v>
      </c>
      <c r="E19" s="1" t="s">
        <v>49</v>
      </c>
      <c r="F19" s="1" t="s">
        <v>28</v>
      </c>
      <c r="G19" s="1" t="s">
        <v>36</v>
      </c>
      <c r="H19" s="6" t="s">
        <v>8</v>
      </c>
      <c r="J19" t="str">
        <f t="shared" si="0"/>
        <v>456 Oak St, New York, NY, 10001</v>
      </c>
      <c r="L19" s="16" t="s">
        <v>93</v>
      </c>
      <c r="M19" s="16"/>
      <c r="O19" t="str">
        <f t="shared" si="1"/>
        <v>565</v>
      </c>
      <c r="Q19">
        <f t="shared" si="2"/>
        <v>11</v>
      </c>
      <c r="R19">
        <f t="shared" si="3"/>
        <v>13</v>
      </c>
      <c r="S19" t="str">
        <f t="shared" si="4"/>
        <v>NY</v>
      </c>
      <c r="T19">
        <f t="shared" si="5"/>
        <v>11</v>
      </c>
      <c r="U19">
        <f t="shared" si="6"/>
        <v>13</v>
      </c>
      <c r="V19" t="str">
        <f t="shared" si="7"/>
        <v>NY</v>
      </c>
    </row>
    <row r="20" spans="1:75" x14ac:dyDescent="0.25">
      <c r="A20" s="5" t="s">
        <v>87</v>
      </c>
      <c r="B20" s="1" t="s">
        <v>40</v>
      </c>
      <c r="C20" s="1" t="s">
        <v>9</v>
      </c>
      <c r="D20" s="11">
        <v>45496.291701388887</v>
      </c>
      <c r="E20" s="1" t="s">
        <v>41</v>
      </c>
      <c r="F20" s="1" t="s">
        <v>29</v>
      </c>
      <c r="G20" s="1" t="s">
        <v>30</v>
      </c>
      <c r="H20" s="6" t="s">
        <v>10</v>
      </c>
      <c r="J20" t="str">
        <f t="shared" si="0"/>
        <v>459 Oak St, Philadelphia, PA, 19101</v>
      </c>
      <c r="L20" s="16" t="s">
        <v>93</v>
      </c>
      <c r="M20" s="16"/>
      <c r="O20" t="str">
        <f t="shared" si="1"/>
        <v>566</v>
      </c>
      <c r="Q20">
        <f t="shared" si="2"/>
        <v>15</v>
      </c>
      <c r="R20">
        <f t="shared" si="3"/>
        <v>17</v>
      </c>
      <c r="S20" t="str">
        <f t="shared" si="4"/>
        <v>PA</v>
      </c>
      <c r="T20">
        <f t="shared" si="5"/>
        <v>15</v>
      </c>
      <c r="U20">
        <f t="shared" si="6"/>
        <v>17</v>
      </c>
      <c r="V20" t="str">
        <f t="shared" si="7"/>
        <v>PA</v>
      </c>
    </row>
    <row r="21" spans="1:75" ht="15.75" thickBot="1" x14ac:dyDescent="0.3">
      <c r="A21" s="5" t="s">
        <v>88</v>
      </c>
      <c r="B21" s="7" t="s">
        <v>40</v>
      </c>
      <c r="C21" s="7" t="s">
        <v>9</v>
      </c>
      <c r="D21" s="12">
        <v>45422.739884259259</v>
      </c>
      <c r="E21" s="7" t="s">
        <v>41</v>
      </c>
      <c r="F21" s="7" t="s">
        <v>29</v>
      </c>
      <c r="G21" s="7" t="s">
        <v>36</v>
      </c>
      <c r="H21" s="8" t="s">
        <v>10</v>
      </c>
      <c r="J21" t="str">
        <f t="shared" si="0"/>
        <v>459 Oak St, New York, NY, 10001</v>
      </c>
      <c r="L21" s="16" t="s">
        <v>93</v>
      </c>
      <c r="M21" s="16"/>
      <c r="O21" t="str">
        <f t="shared" si="1"/>
        <v>567</v>
      </c>
      <c r="Q21">
        <f t="shared" si="2"/>
        <v>11</v>
      </c>
      <c r="R21">
        <f t="shared" si="3"/>
        <v>13</v>
      </c>
      <c r="S21" t="str">
        <f t="shared" si="4"/>
        <v>NY</v>
      </c>
      <c r="T21">
        <f t="shared" si="5"/>
        <v>11</v>
      </c>
      <c r="U21">
        <f t="shared" si="6"/>
        <v>13</v>
      </c>
      <c r="V21" t="str">
        <f t="shared" si="7"/>
        <v>NY</v>
      </c>
    </row>
    <row r="23" spans="1:75" x14ac:dyDescent="0.25">
      <c r="A23" s="17" t="s">
        <v>92</v>
      </c>
      <c r="B23" s="17"/>
    </row>
    <row r="24" spans="1:75" x14ac:dyDescent="0.25">
      <c r="A24" t="str">
        <f>_xlfn.TEXTJOIN(", ",TRUE,H2:H21)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26" spans="1:75" x14ac:dyDescent="0.25">
      <c r="A26" s="14" t="s">
        <v>66</v>
      </c>
      <c r="B26" s="16" t="s">
        <v>93</v>
      </c>
      <c r="C26" s="16"/>
    </row>
    <row r="27" spans="1:75" x14ac:dyDescent="0.25">
      <c r="A27" t="s">
        <v>94</v>
      </c>
      <c r="B27" t="s">
        <v>95</v>
      </c>
      <c r="C27" t="s">
        <v>96</v>
      </c>
      <c r="D27" s="9" t="s">
        <v>97</v>
      </c>
      <c r="E27" t="s">
        <v>98</v>
      </c>
      <c r="F27" t="s">
        <v>99</v>
      </c>
      <c r="G27" t="s">
        <v>98</v>
      </c>
      <c r="H27" t="s">
        <v>100</v>
      </c>
      <c r="I27" t="s">
        <v>101</v>
      </c>
      <c r="J27" t="s">
        <v>102</v>
      </c>
      <c r="K27" t="s">
        <v>103</v>
      </c>
      <c r="L27" t="s">
        <v>104</v>
      </c>
      <c r="M27" t="s">
        <v>105</v>
      </c>
      <c r="N27" t="s">
        <v>95</v>
      </c>
      <c r="O27" t="s">
        <v>94</v>
      </c>
      <c r="P27" t="s">
        <v>95</v>
      </c>
      <c r="Q27" t="s">
        <v>96</v>
      </c>
      <c r="R27" t="s">
        <v>97</v>
      </c>
      <c r="S27" t="s">
        <v>98</v>
      </c>
      <c r="T27" t="s">
        <v>95</v>
      </c>
      <c r="U27" t="s">
        <v>101</v>
      </c>
      <c r="V27" t="s">
        <v>104</v>
      </c>
      <c r="W27" t="s">
        <v>106</v>
      </c>
      <c r="X27" t="s">
        <v>100</v>
      </c>
      <c r="Y27" t="s">
        <v>95</v>
      </c>
      <c r="Z27" t="s">
        <v>103</v>
      </c>
      <c r="AA27" t="s">
        <v>104</v>
      </c>
      <c r="AB27" t="s">
        <v>105</v>
      </c>
      <c r="AC27" t="s">
        <v>95</v>
      </c>
      <c r="AD27" t="s">
        <v>106</v>
      </c>
      <c r="AE27" t="s">
        <v>100</v>
      </c>
      <c r="AF27" t="s">
        <v>95</v>
      </c>
      <c r="AG27" t="s">
        <v>107</v>
      </c>
      <c r="AH27" t="s">
        <v>103</v>
      </c>
      <c r="AI27" t="s">
        <v>102</v>
      </c>
      <c r="AJ27" t="s">
        <v>94</v>
      </c>
      <c r="AK27" t="s">
        <v>106</v>
      </c>
      <c r="AL27" t="s">
        <v>108</v>
      </c>
      <c r="AM27" t="s">
        <v>107</v>
      </c>
      <c r="AN27" t="s">
        <v>108</v>
      </c>
      <c r="AO27" t="s">
        <v>99</v>
      </c>
      <c r="AP27" t="s">
        <v>102</v>
      </c>
      <c r="AQ27" t="s">
        <v>107</v>
      </c>
      <c r="AR27" t="s">
        <v>102</v>
      </c>
      <c r="AS27" t="s">
        <v>101</v>
      </c>
      <c r="AT27" t="s">
        <v>99</v>
      </c>
      <c r="AU27" t="s">
        <v>105</v>
      </c>
      <c r="AV27" t="s">
        <v>106</v>
      </c>
      <c r="AW27" t="s">
        <v>100</v>
      </c>
      <c r="AX27" t="s">
        <v>95</v>
      </c>
      <c r="AY27" t="s">
        <v>104</v>
      </c>
      <c r="AZ27" t="s">
        <v>107</v>
      </c>
      <c r="BA27" t="s">
        <v>102</v>
      </c>
      <c r="BB27" t="s">
        <v>95</v>
      </c>
      <c r="BC27" t="s">
        <v>103</v>
      </c>
      <c r="BD27" t="s">
        <v>107</v>
      </c>
      <c r="BE27" t="s">
        <v>99</v>
      </c>
      <c r="BF27" t="s">
        <v>98</v>
      </c>
      <c r="BG27" t="s">
        <v>100</v>
      </c>
      <c r="BH27" t="s">
        <v>101</v>
      </c>
      <c r="BI27" t="s">
        <v>102</v>
      </c>
      <c r="BJ27" t="s">
        <v>95</v>
      </c>
      <c r="BK27" t="s">
        <v>101</v>
      </c>
      <c r="BL27" t="s">
        <v>104</v>
      </c>
      <c r="BM27" t="s">
        <v>106</v>
      </c>
      <c r="BN27" t="s">
        <v>99</v>
      </c>
      <c r="BO27" t="s">
        <v>109</v>
      </c>
      <c r="BP27" t="s">
        <v>100</v>
      </c>
      <c r="BQ27" t="s">
        <v>105</v>
      </c>
      <c r="BR27" t="s">
        <v>95</v>
      </c>
      <c r="BS27" t="s">
        <v>101</v>
      </c>
      <c r="BT27" t="s">
        <v>104</v>
      </c>
      <c r="BU27" t="s">
        <v>95</v>
      </c>
      <c r="BV27" t="s">
        <v>101</v>
      </c>
      <c r="BW27" t="s">
        <v>104</v>
      </c>
    </row>
    <row r="29" spans="1:75" x14ac:dyDescent="0.25">
      <c r="A29" s="18" t="s">
        <v>67</v>
      </c>
      <c r="B29" s="14" t="s">
        <v>91</v>
      </c>
      <c r="C29" s="14"/>
    </row>
    <row r="30" spans="1:75" x14ac:dyDescent="0.25">
      <c r="A30" t="str" cm="1">
        <f t="array" ref="A30:A45">_xlfn.UNIQUE(TRANSPOSE(A27:BW27))</f>
        <v>Kafka</v>
      </c>
      <c r="B30">
        <f>COUNTIF($A$27:$BW$27,A30)</f>
        <v>3</v>
      </c>
    </row>
    <row r="31" spans="1:75" x14ac:dyDescent="0.25">
      <c r="A31" t="str">
        <v>DataBricks</v>
      </c>
      <c r="B31">
        <f t="shared" ref="B31:B45" si="8">COUNTIF($A$27:$BW$27,A31)</f>
        <v>12</v>
      </c>
    </row>
    <row r="32" spans="1:75" x14ac:dyDescent="0.25">
      <c r="A32" t="str">
        <v>Spark</v>
      </c>
      <c r="B32">
        <f t="shared" si="8"/>
        <v>2</v>
      </c>
    </row>
    <row r="33" spans="1:2" x14ac:dyDescent="0.25">
      <c r="A33" t="str">
        <v>Python</v>
      </c>
      <c r="B33">
        <f t="shared" si="8"/>
        <v>2</v>
      </c>
    </row>
    <row r="34" spans="1:2" x14ac:dyDescent="0.25">
      <c r="A34" t="str">
        <v>GCP</v>
      </c>
      <c r="B34">
        <f t="shared" si="8"/>
        <v>4</v>
      </c>
    </row>
    <row r="35" spans="1:2" x14ac:dyDescent="0.25">
      <c r="A35" t="str">
        <v>Power BI</v>
      </c>
      <c r="B35">
        <f t="shared" si="8"/>
        <v>5</v>
      </c>
    </row>
    <row r="36" spans="1:2" x14ac:dyDescent="0.25">
      <c r="A36" t="str">
        <v>Airflow</v>
      </c>
      <c r="B36">
        <f t="shared" si="8"/>
        <v>6</v>
      </c>
    </row>
    <row r="37" spans="1:2" x14ac:dyDescent="0.25">
      <c r="A37" t="str">
        <v>Hadoop</v>
      </c>
      <c r="B37">
        <f t="shared" si="8"/>
        <v>7</v>
      </c>
    </row>
    <row r="38" spans="1:2" x14ac:dyDescent="0.25">
      <c r="A38" t="str">
        <v>R</v>
      </c>
      <c r="B38">
        <f t="shared" si="8"/>
        <v>6</v>
      </c>
    </row>
    <row r="39" spans="1:2" x14ac:dyDescent="0.25">
      <c r="A39" t="str">
        <v>Azure</v>
      </c>
      <c r="B39">
        <f t="shared" si="8"/>
        <v>4</v>
      </c>
    </row>
    <row r="40" spans="1:2" x14ac:dyDescent="0.25">
      <c r="A40" t="str">
        <v>Java</v>
      </c>
      <c r="B40">
        <f t="shared" si="8"/>
        <v>7</v>
      </c>
    </row>
    <row r="41" spans="1:2" x14ac:dyDescent="0.25">
      <c r="A41" t="str">
        <v>SQL</v>
      </c>
      <c r="B41">
        <f t="shared" si="8"/>
        <v>4</v>
      </c>
    </row>
    <row r="42" spans="1:2" x14ac:dyDescent="0.25">
      <c r="A42" t="str">
        <v>Snowflake</v>
      </c>
      <c r="B42">
        <f t="shared" si="8"/>
        <v>5</v>
      </c>
    </row>
    <row r="43" spans="1:2" x14ac:dyDescent="0.25">
      <c r="A43" t="str">
        <v>Scala</v>
      </c>
      <c r="B43">
        <f t="shared" si="8"/>
        <v>5</v>
      </c>
    </row>
    <row r="44" spans="1:2" x14ac:dyDescent="0.25">
      <c r="A44" t="str">
        <v>Excel</v>
      </c>
      <c r="B44">
        <f t="shared" si="8"/>
        <v>2</v>
      </c>
    </row>
    <row r="45" spans="1:2" x14ac:dyDescent="0.25">
      <c r="A45" t="str">
        <v>Tableau</v>
      </c>
      <c r="B45">
        <f t="shared" si="8"/>
        <v>1</v>
      </c>
    </row>
  </sheetData>
  <sortState xmlns:xlrd2="http://schemas.microsoft.com/office/spreadsheetml/2017/richdata2" ref="B2:H22">
    <sortCondition ref="D1:D22"/>
  </sortState>
  <mergeCells count="24">
    <mergeCell ref="L20:M20"/>
    <mergeCell ref="L21:M21"/>
    <mergeCell ref="A23:B23"/>
    <mergeCell ref="B26:C26"/>
    <mergeCell ref="L15:M15"/>
    <mergeCell ref="L16:M16"/>
    <mergeCell ref="L17:M17"/>
    <mergeCell ref="L18:M18"/>
    <mergeCell ref="L19:M19"/>
    <mergeCell ref="L10:M10"/>
    <mergeCell ref="L11:M11"/>
    <mergeCell ref="L12:M12"/>
    <mergeCell ref="L13:M13"/>
    <mergeCell ref="L14:M14"/>
    <mergeCell ref="L5:M5"/>
    <mergeCell ref="L6:M6"/>
    <mergeCell ref="L7:M7"/>
    <mergeCell ref="L8:M8"/>
    <mergeCell ref="L9:M9"/>
    <mergeCell ref="Q1:S1"/>
    <mergeCell ref="T1:V1"/>
    <mergeCell ref="L2:M2"/>
    <mergeCell ref="L3:M3"/>
    <mergeCell ref="L4:M4"/>
  </mergeCells>
  <phoneticPr fontId="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Sriharsha KR</cp:lastModifiedBy>
  <dcterms:created xsi:type="dcterms:W3CDTF">2015-06-05T18:17:20Z</dcterms:created>
  <dcterms:modified xsi:type="dcterms:W3CDTF">2026-07-10T14:31:01Z</dcterms:modified>
</cp:coreProperties>
</file>